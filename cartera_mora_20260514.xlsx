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Reelige\financiera-docs\"/>
    </mc:Choice>
  </mc:AlternateContent>
  <xr:revisionPtr revIDLastSave="0" documentId="13_ncr:1_{EE000D6E-FF9C-4502-B361-26645A38CE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artera en Mora" sheetId="1" r:id="rId1"/>
  </sheets>
  <calcPr calcId="191029"/>
</workbook>
</file>

<file path=xl/calcChain.xml><?xml version="1.0" encoding="utf-8"?>
<calcChain xmlns="http://schemas.openxmlformats.org/spreadsheetml/2006/main">
  <c r="H25" i="1" l="1"/>
  <c r="G25" i="1"/>
  <c r="F25" i="1"/>
  <c r="E25" i="1"/>
  <c r="D25" i="1"/>
  <c r="D17" i="1"/>
  <c r="B17" i="1"/>
  <c r="F16" i="1"/>
  <c r="G16" i="1" s="1"/>
  <c r="G15" i="1"/>
  <c r="F15" i="1"/>
  <c r="G14" i="1"/>
  <c r="F14" i="1"/>
  <c r="F17" i="1" s="1"/>
  <c r="G13" i="1"/>
  <c r="F13" i="1"/>
</calcChain>
</file>

<file path=xl/sharedStrings.xml><?xml version="1.0" encoding="utf-8"?>
<sst xmlns="http://schemas.openxmlformats.org/spreadsheetml/2006/main" count="50" uniqueCount="46">
  <si>
    <t>REPORTE DE CARTERA EN MORA</t>
  </si>
  <si>
    <t>Préstamos con cuotas vencidas — Detalle operativo</t>
  </si>
  <si>
    <t>Generado: 14 de mayo de 2026  |  Sucursal: Todas las agencias</t>
  </si>
  <si>
    <t>INDICADORES CLAVE</t>
  </si>
  <si>
    <t>TOTAL EN MORA</t>
  </si>
  <si>
    <t>PRÉSTAMOS AFECTADOS</t>
  </si>
  <si>
    <t>MAYOR ATRASO</t>
  </si>
  <si>
    <t>38 días</t>
  </si>
  <si>
    <t>CUOTAS VENCIDAS</t>
  </si>
  <si>
    <t>% MORA / CARTERA</t>
  </si>
  <si>
    <t>DISTRIBUCIÓN POR RANGO DE DÍAS DE ATRASO</t>
  </si>
  <si>
    <t>Rango</t>
  </si>
  <si>
    <t>N° Préstamos</t>
  </si>
  <si>
    <t>Total Deuda (S/)</t>
  </si>
  <si>
    <t>% del Total</t>
  </si>
  <si>
    <t>Visualización</t>
  </si>
  <si>
    <t>0-30 días</t>
  </si>
  <si>
    <t>31-60 días</t>
  </si>
  <si>
    <t>61-90 días</t>
  </si>
  <si>
    <t>+ 90 días</t>
  </si>
  <si>
    <t>TOTAL</t>
  </si>
  <si>
    <t>DETALLE DE PRÉSTAMOS EN MORA</t>
  </si>
  <si>
    <t>Contrato</t>
  </si>
  <si>
    <t>DNI</t>
  </si>
  <si>
    <t>Cliente</t>
  </si>
  <si>
    <t>Saldo Capital</t>
  </si>
  <si>
    <t>Cuotas Venc.</t>
  </si>
  <si>
    <t>Días</t>
  </si>
  <si>
    <t>Mora Acum.</t>
  </si>
  <si>
    <t>Total Deuda</t>
  </si>
  <si>
    <t>P-2026-0008</t>
  </si>
  <si>
    <t>12345008</t>
  </si>
  <si>
    <t>Miguel Castillo</t>
  </si>
  <si>
    <t>31-60</t>
  </si>
  <si>
    <t>P-2026-0007</t>
  </si>
  <si>
    <t>12345007</t>
  </si>
  <si>
    <t>Lucia Ramos</t>
  </si>
  <si>
    <t>0-30</t>
  </si>
  <si>
    <t>P-2026-0006</t>
  </si>
  <si>
    <t>12345009</t>
  </si>
  <si>
    <t>Sofia Mendoza</t>
  </si>
  <si>
    <t>P-2026-0001</t>
  </si>
  <si>
    <t>12345001</t>
  </si>
  <si>
    <t>Ana García</t>
  </si>
  <si>
    <t>4 reg.</t>
  </si>
  <si>
    <t>Sistema CrediActiva — Reporte generado automáticamente. Información confidencial de uso interno.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</si>
</sst>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/ &quot;#,##0.00"/>
    <numFmt numFmtId="165" formatCode="0.0%"/>
  </numFmts>
  <fonts count="67" x14ac:knownFonts="1">
    <font>
      <sz val="11"/>
      <color indexed="8"/>
      <name val="Calibri"/>
      <family val="2"/>
      <scheme val="minor"/>
    </font>
    <font>
      <b/>
      <sz val="18"/>
      <color rgb="FF0F2C5C"/>
      <name val="Arial"/>
    </font>
    <font>
      <i/>
      <sz val="11"/>
      <color rgb="FF6B7280"/>
      <name val="Arial"/>
    </font>
    <font>
      <sz val="9"/>
      <color rgb="FF6B7280"/>
      <name val="Arial"/>
    </font>
    <font>
      <b/>
      <sz val="10"/>
      <color rgb="FF6B7280"/>
      <name val="Arial"/>
    </font>
    <font>
      <b/>
      <sz val="8"/>
      <color rgb="FF6B7280"/>
      <name val="Arial"/>
    </font>
    <font>
      <b/>
      <sz val="22"/>
      <color rgb="FFDC2626"/>
      <name val="Arial"/>
    </font>
    <font>
      <b/>
      <sz val="8"/>
      <color rgb="FF6B7280"/>
      <name val="Arial"/>
    </font>
    <font>
      <b/>
      <sz val="22"/>
      <color rgb="FF0F2C5C"/>
      <name val="Arial"/>
    </font>
    <font>
      <b/>
      <sz val="8"/>
      <color rgb="FF6B7280"/>
      <name val="Arial"/>
    </font>
    <font>
      <b/>
      <sz val="22"/>
      <color rgb="FFDC2626"/>
      <name val="Arial"/>
    </font>
    <font>
      <b/>
      <sz val="8"/>
      <color rgb="FF6B7280"/>
      <name val="Arial"/>
    </font>
    <font>
      <b/>
      <sz val="22"/>
      <color rgb="FFD97706"/>
      <name val="Arial"/>
    </font>
    <font>
      <b/>
      <sz val="8"/>
      <color rgb="FF6B7280"/>
      <name val="Arial"/>
    </font>
    <font>
      <b/>
      <sz val="22"/>
      <color rgb="FFD97706"/>
      <name val="Arial"/>
    </font>
    <font>
      <b/>
      <sz val="10"/>
      <color rgb="FF6B7280"/>
      <name val="Arial"/>
    </font>
    <font>
      <b/>
      <sz val="10"/>
      <color indexed="9"/>
      <name val="Arial"/>
    </font>
    <font>
      <b/>
      <sz val="10"/>
      <name val="Arial"/>
    </font>
    <font>
      <sz val="9"/>
      <name val="Arial"/>
    </font>
    <font>
      <sz val="9"/>
      <name val="Arial"/>
    </font>
    <font>
      <b/>
      <sz val="10"/>
      <color rgb="FFD97706"/>
      <name val="Arial"/>
    </font>
    <font>
      <sz val="10"/>
      <color rgb="FFD97706"/>
      <name val="Consolas"/>
    </font>
    <font>
      <sz val="9"/>
      <name val="Arial"/>
    </font>
    <font>
      <sz val="9"/>
      <name val="Arial"/>
    </font>
    <font>
      <b/>
      <sz val="10"/>
      <color rgb="FFF97316"/>
      <name val="Arial"/>
    </font>
    <font>
      <sz val="10"/>
      <color rgb="FFF97316"/>
      <name val="Consolas"/>
    </font>
    <font>
      <sz val="9"/>
      <name val="Arial"/>
    </font>
    <font>
      <sz val="9"/>
      <name val="Arial"/>
    </font>
    <font>
      <b/>
      <sz val="10"/>
      <color rgb="FFDC2626"/>
      <name val="Arial"/>
    </font>
    <font>
      <sz val="10"/>
      <color rgb="FFDC2626"/>
      <name val="Consolas"/>
    </font>
    <font>
      <sz val="9"/>
      <name val="Arial"/>
    </font>
    <font>
      <sz val="9"/>
      <name val="Arial"/>
    </font>
    <font>
      <b/>
      <sz val="10"/>
      <color rgb="FF7F1D1D"/>
      <name val="Arial"/>
    </font>
    <font>
      <sz val="10"/>
      <color rgb="FF7F1D1D"/>
      <name val="Consolas"/>
    </font>
    <font>
      <b/>
      <sz val="10"/>
      <color indexed="9"/>
      <name val="Arial"/>
    </font>
    <font>
      <b/>
      <sz val="10"/>
      <color indexed="9"/>
      <name val="Arial"/>
    </font>
    <font>
      <b/>
      <sz val="10"/>
      <color indexed="9"/>
      <name val="Arial"/>
    </font>
    <font>
      <b/>
      <sz val="10"/>
      <color indexed="9"/>
      <name val="Arial"/>
    </font>
    <font>
      <b/>
      <sz val="10"/>
      <color indexed="9"/>
      <name val="Arial"/>
    </font>
    <font>
      <b/>
      <sz val="10"/>
      <color rgb="FF6B7280"/>
      <name val="Arial"/>
    </font>
    <font>
      <b/>
      <sz val="10"/>
      <color indexed="9"/>
      <name val="Arial"/>
    </font>
    <font>
      <b/>
      <sz val="9"/>
      <name val="Arial"/>
    </font>
    <font>
      <b/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b/>
      <sz val="9"/>
      <color rgb="FFF97316"/>
      <name val="Arial"/>
    </font>
    <font>
      <b/>
      <sz val="9"/>
      <color indexed="9"/>
      <name val="Arial"/>
    </font>
    <font>
      <b/>
      <sz val="9"/>
      <color rgb="FFD97706"/>
      <name val="Arial"/>
    </font>
    <font>
      <b/>
      <sz val="9"/>
      <color indexed="9"/>
      <name val="Arial"/>
    </font>
    <font>
      <b/>
      <sz val="9"/>
      <color rgb="FFD97706"/>
      <name val="Arial"/>
    </font>
    <font>
      <b/>
      <sz val="9"/>
      <color indexed="9"/>
      <name val="Arial"/>
    </font>
    <font>
      <b/>
      <sz val="9"/>
      <color rgb="FFD97706"/>
      <name val="Arial"/>
    </font>
    <font>
      <b/>
      <sz val="9"/>
      <color indexed="9"/>
      <name val="Arial"/>
    </font>
    <font>
      <b/>
      <sz val="10"/>
      <color indexed="9"/>
      <name val="Arial"/>
    </font>
    <font>
      <b/>
      <sz val="10"/>
      <color indexed="9"/>
      <name val="Arial"/>
    </font>
    <font>
      <b/>
      <sz val="10"/>
      <color indexed="9"/>
      <name val="Arial"/>
    </font>
    <font>
      <b/>
      <sz val="10"/>
      <color indexed="9"/>
      <name val="Arial"/>
    </font>
    <font>
      <b/>
      <sz val="10"/>
      <color indexed="9"/>
      <name val="Arial"/>
    </font>
    <font>
      <b/>
      <sz val="10"/>
      <color indexed="9"/>
      <name val="Arial"/>
    </font>
    <font>
      <b/>
      <sz val="10"/>
      <color indexed="9"/>
      <name val="Arial"/>
    </font>
    <font>
      <i/>
      <sz val="8"/>
      <color rgb="FF6B7280"/>
      <name val="Arial"/>
    </font>
  </fonts>
  <fills count="8">
    <fill>
      <patternFill patternType="none"/>
    </fill>
    <fill>
      <patternFill patternType="gray125"/>
    </fill>
    <fill>
      <patternFill patternType="solid">
        <fgColor rgb="FF00A651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AFAFA"/>
      </patternFill>
    </fill>
    <fill>
      <patternFill patternType="solid">
        <fgColor rgb="FFF97316"/>
      </patternFill>
    </fill>
    <fill>
      <patternFill patternType="solid">
        <fgColor rgb="FFD97706"/>
      </patternFill>
    </fill>
  </fills>
  <borders count="6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9" fillId="3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top" wrapText="1"/>
    </xf>
    <xf numFmtId="0" fontId="16" fillId="4" borderId="3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/>
    </xf>
    <xf numFmtId="165" fontId="20" fillId="0" borderId="4" xfId="0" applyNumberFormat="1" applyFont="1" applyBorder="1" applyAlignment="1">
      <alignment horizontal="center" vertical="center"/>
    </xf>
    <xf numFmtId="165" fontId="24" fillId="0" borderId="4" xfId="0" applyNumberFormat="1" applyFont="1" applyBorder="1" applyAlignment="1">
      <alignment horizontal="center" vertical="center"/>
    </xf>
    <xf numFmtId="165" fontId="28" fillId="0" borderId="4" xfId="0" applyNumberFormat="1" applyFont="1" applyBorder="1" applyAlignment="1">
      <alignment horizontal="center" vertical="center"/>
    </xf>
    <xf numFmtId="165" fontId="32" fillId="0" borderId="4" xfId="0" applyNumberFormat="1" applyFont="1" applyBorder="1" applyAlignment="1">
      <alignment horizontal="center" vertical="center"/>
    </xf>
    <xf numFmtId="0" fontId="34" fillId="4" borderId="5" xfId="0" applyFont="1" applyFill="1" applyBorder="1" applyAlignment="1">
      <alignment horizontal="left" vertical="center"/>
    </xf>
    <xf numFmtId="165" fontId="37" fillId="4" borderId="5" xfId="0" applyNumberFormat="1" applyFont="1" applyFill="1" applyBorder="1" applyAlignment="1">
      <alignment horizontal="center" vertical="center"/>
    </xf>
    <xf numFmtId="0" fontId="40" fillId="4" borderId="3" xfId="0" applyFont="1" applyFill="1" applyBorder="1" applyAlignment="1">
      <alignment horizontal="center" vertical="center" wrapText="1"/>
    </xf>
    <xf numFmtId="0" fontId="41" fillId="0" borderId="4" xfId="0" applyFont="1" applyBorder="1" applyAlignment="1">
      <alignment horizontal="left" vertical="center"/>
    </xf>
    <xf numFmtId="0" fontId="42" fillId="5" borderId="4" xfId="0" applyFont="1" applyFill="1" applyBorder="1" applyAlignment="1">
      <alignment horizontal="left" vertical="center"/>
    </xf>
    <xf numFmtId="0" fontId="43" fillId="0" borderId="4" xfId="0" applyFont="1" applyBorder="1" applyAlignment="1">
      <alignment horizontal="center" vertical="center"/>
    </xf>
    <xf numFmtId="0" fontId="44" fillId="5" borderId="4" xfId="0" applyFont="1" applyFill="1" applyBorder="1" applyAlignment="1">
      <alignment horizontal="center" vertical="center"/>
    </xf>
    <xf numFmtId="0" fontId="45" fillId="0" borderId="4" xfId="0" applyFont="1" applyBorder="1" applyAlignment="1">
      <alignment horizontal="left" vertical="center"/>
    </xf>
    <xf numFmtId="0" fontId="46" fillId="5" borderId="4" xfId="0" applyFont="1" applyFill="1" applyBorder="1" applyAlignment="1">
      <alignment horizontal="left" vertical="center"/>
    </xf>
    <xf numFmtId="164" fontId="47" fillId="0" borderId="4" xfId="0" applyNumberFormat="1" applyFont="1" applyBorder="1" applyAlignment="1">
      <alignment horizontal="right" vertical="center"/>
    </xf>
    <xf numFmtId="164" fontId="48" fillId="5" borderId="4" xfId="0" applyNumberFormat="1" applyFont="1" applyFill="1" applyBorder="1" applyAlignment="1">
      <alignment horizontal="right" vertical="center"/>
    </xf>
    <xf numFmtId="3" fontId="49" fillId="0" borderId="4" xfId="0" applyNumberFormat="1" applyFont="1" applyBorder="1" applyAlignment="1">
      <alignment horizontal="center" vertical="center"/>
    </xf>
    <xf numFmtId="3" fontId="50" fillId="5" borderId="4" xfId="0" applyNumberFormat="1" applyFont="1" applyFill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52" fillId="6" borderId="4" xfId="0" applyFont="1" applyFill="1" applyBorder="1" applyAlignment="1">
      <alignment horizontal="center" vertical="center"/>
    </xf>
    <xf numFmtId="0" fontId="53" fillId="5" borderId="4" xfId="0" applyFont="1" applyFill="1" applyBorder="1" applyAlignment="1">
      <alignment horizontal="center" vertical="center"/>
    </xf>
    <xf numFmtId="0" fontId="54" fillId="7" borderId="4" xfId="0" applyFont="1" applyFill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56" fillId="7" borderId="4" xfId="0" applyFont="1" applyFill="1" applyBorder="1" applyAlignment="1">
      <alignment horizontal="center" vertical="center"/>
    </xf>
    <xf numFmtId="0" fontId="57" fillId="5" borderId="4" xfId="0" applyFont="1" applyFill="1" applyBorder="1" applyAlignment="1">
      <alignment horizontal="center" vertical="center"/>
    </xf>
    <xf numFmtId="0" fontId="58" fillId="7" borderId="4" xfId="0" applyFont="1" applyFill="1" applyBorder="1" applyAlignment="1">
      <alignment horizontal="center" vertical="center"/>
    </xf>
    <xf numFmtId="164" fontId="60" fillId="4" borderId="5" xfId="0" applyNumberFormat="1" applyFont="1" applyFill="1" applyBorder="1" applyAlignment="1">
      <alignment horizontal="right" vertical="center"/>
    </xf>
    <xf numFmtId="3" fontId="61" fillId="4" borderId="5" xfId="0" applyNumberFormat="1" applyFont="1" applyFill="1" applyBorder="1" applyAlignment="1">
      <alignment horizontal="center" vertical="center"/>
    </xf>
    <xf numFmtId="3" fontId="62" fillId="4" borderId="5" xfId="0" applyNumberFormat="1" applyFont="1" applyFill="1" applyBorder="1" applyAlignment="1">
      <alignment horizontal="center" vertical="center"/>
    </xf>
    <xf numFmtId="164" fontId="63" fillId="4" borderId="5" xfId="0" applyNumberFormat="1" applyFont="1" applyFill="1" applyBorder="1" applyAlignment="1">
      <alignment horizontal="right" vertical="center"/>
    </xf>
    <xf numFmtId="164" fontId="64" fillId="4" borderId="5" xfId="0" applyNumberFormat="1" applyFont="1" applyFill="1" applyBorder="1" applyAlignment="1">
      <alignment horizontal="right" vertical="center"/>
    </xf>
    <xf numFmtId="0" fontId="65" fillId="4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top" wrapText="1"/>
    </xf>
    <xf numFmtId="0" fontId="15" fillId="0" borderId="0" xfId="0" applyFont="1" applyAlignment="1">
      <alignment horizontal="left" vertical="center"/>
    </xf>
    <xf numFmtId="0" fontId="16" fillId="4" borderId="3" xfId="0" applyFont="1" applyFill="1" applyBorder="1" applyAlignment="1">
      <alignment horizontal="center" vertical="center" wrapText="1"/>
    </xf>
    <xf numFmtId="3" fontId="18" fillId="0" borderId="4" xfId="0" applyNumberFormat="1" applyFont="1" applyBorder="1" applyAlignment="1">
      <alignment horizontal="center" vertical="center"/>
    </xf>
    <xf numFmtId="164" fontId="19" fillId="0" borderId="4" xfId="0" applyNumberFormat="1" applyFont="1" applyBorder="1" applyAlignment="1">
      <alignment horizontal="right" vertical="center"/>
    </xf>
    <xf numFmtId="0" fontId="21" fillId="0" borderId="4" xfId="0" applyFont="1" applyBorder="1" applyAlignment="1">
      <alignment horizontal="left" vertical="center"/>
    </xf>
    <xf numFmtId="3" fontId="22" fillId="0" borderId="4" xfId="0" applyNumberFormat="1" applyFont="1" applyBorder="1" applyAlignment="1">
      <alignment horizontal="center" vertical="center"/>
    </xf>
    <xf numFmtId="164" fontId="23" fillId="0" borderId="4" xfId="0" applyNumberFormat="1" applyFont="1" applyBorder="1" applyAlignment="1">
      <alignment horizontal="right" vertical="center"/>
    </xf>
    <xf numFmtId="0" fontId="25" fillId="0" borderId="4" xfId="0" applyFont="1" applyBorder="1" applyAlignment="1">
      <alignment horizontal="left" vertical="center"/>
    </xf>
    <xf numFmtId="3" fontId="26" fillId="0" borderId="4" xfId="0" applyNumberFormat="1" applyFont="1" applyBorder="1" applyAlignment="1">
      <alignment horizontal="center" vertical="center"/>
    </xf>
    <xf numFmtId="164" fontId="27" fillId="0" borderId="4" xfId="0" applyNumberFormat="1" applyFont="1" applyBorder="1" applyAlignment="1">
      <alignment horizontal="right" vertical="center"/>
    </xf>
    <xf numFmtId="0" fontId="29" fillId="0" borderId="4" xfId="0" applyFont="1" applyBorder="1" applyAlignment="1">
      <alignment horizontal="left" vertical="center"/>
    </xf>
    <xf numFmtId="3" fontId="30" fillId="0" borderId="4" xfId="0" applyNumberFormat="1" applyFont="1" applyBorder="1" applyAlignment="1">
      <alignment horizontal="center" vertical="center"/>
    </xf>
    <xf numFmtId="164" fontId="31" fillId="0" borderId="4" xfId="0" applyNumberFormat="1" applyFont="1" applyBorder="1" applyAlignment="1">
      <alignment horizontal="right" vertical="center"/>
    </xf>
    <xf numFmtId="0" fontId="33" fillId="0" borderId="4" xfId="0" applyFont="1" applyBorder="1" applyAlignment="1">
      <alignment horizontal="left" vertical="center"/>
    </xf>
    <xf numFmtId="3" fontId="35" fillId="4" borderId="5" xfId="0" applyNumberFormat="1" applyFont="1" applyFill="1" applyBorder="1" applyAlignment="1">
      <alignment horizontal="center" vertical="center"/>
    </xf>
    <xf numFmtId="164" fontId="36" fillId="4" borderId="5" xfId="0" applyNumberFormat="1" applyFont="1" applyFill="1" applyBorder="1" applyAlignment="1">
      <alignment horizontal="right" vertical="center"/>
    </xf>
    <xf numFmtId="0" fontId="38" fillId="4" borderId="5" xfId="0" applyFont="1" applyFill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59" fillId="4" borderId="5" xfId="0" applyFont="1" applyFill="1" applyBorder="1" applyAlignment="1">
      <alignment horizontal="left" vertical="center"/>
    </xf>
    <xf numFmtId="0" fontId="6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7"/>
  <sheetViews>
    <sheetView showGridLines="0" tabSelected="1" workbookViewId="0">
      <selection activeCell="K2" sqref="K2"/>
    </sheetView>
  </sheetViews>
  <sheetFormatPr baseColWidth="10" defaultColWidth="9.140625" defaultRowHeight="15" x14ac:dyDescent="0.25"/>
  <cols>
    <col min="1" max="1" width="14" customWidth="1"/>
    <col min="2" max="2" width="12" customWidth="1"/>
    <col min="3" max="3" width="30" customWidth="1"/>
    <col min="4" max="4" width="14" customWidth="1"/>
    <col min="5" max="5" width="12" customWidth="1"/>
    <col min="6" max="6" width="8" customWidth="1"/>
    <col min="7" max="7" width="12" customWidth="1"/>
    <col min="8" max="8" width="14" customWidth="1"/>
    <col min="9" max="9" width="26" customWidth="1"/>
  </cols>
  <sheetData>
    <row r="1" spans="1:9" ht="48.95" customHeight="1" x14ac:dyDescent="0.25">
      <c r="F1" s="36" t="s">
        <v>0</v>
      </c>
      <c r="G1" s="37"/>
      <c r="H1" s="37"/>
      <c r="I1" s="37"/>
    </row>
    <row r="2" spans="1:9" ht="20.100000000000001" customHeight="1" x14ac:dyDescent="0.25">
      <c r="F2" s="38" t="s">
        <v>1</v>
      </c>
      <c r="G2" s="37"/>
      <c r="H2" s="37"/>
      <c r="I2" s="37"/>
    </row>
    <row r="3" spans="1:9" ht="15.95" customHeight="1" x14ac:dyDescent="0.25">
      <c r="F3" s="39" t="s">
        <v>2</v>
      </c>
      <c r="G3" s="37"/>
      <c r="H3" s="37"/>
      <c r="I3" s="37"/>
    </row>
    <row r="4" spans="1:9" ht="3.95" customHeight="1" x14ac:dyDescent="0.25">
      <c r="A4" s="40"/>
      <c r="B4" s="40"/>
      <c r="C4" s="40"/>
      <c r="D4" s="40"/>
      <c r="E4" s="40"/>
      <c r="F4" s="40"/>
      <c r="G4" s="40"/>
      <c r="H4" s="40"/>
      <c r="I4" s="40"/>
    </row>
    <row r="5" spans="1:9" ht="8.1" customHeight="1" x14ac:dyDescent="0.25"/>
    <row r="6" spans="1:9" ht="20.100000000000001" customHeight="1" x14ac:dyDescent="0.25">
      <c r="A6" s="41" t="s">
        <v>3</v>
      </c>
      <c r="B6" s="37"/>
      <c r="C6" s="37"/>
      <c r="D6" s="37"/>
      <c r="E6" s="37"/>
      <c r="F6" s="37"/>
      <c r="G6" s="37"/>
      <c r="H6" s="37"/>
      <c r="I6" s="37"/>
    </row>
    <row r="7" spans="1:9" ht="15.95" customHeight="1" x14ac:dyDescent="0.25">
      <c r="A7" s="42" t="s">
        <v>4</v>
      </c>
      <c r="B7" s="37"/>
      <c r="C7" s="44" t="s">
        <v>5</v>
      </c>
      <c r="D7" s="37"/>
      <c r="E7" s="1" t="s">
        <v>6</v>
      </c>
      <c r="F7" s="46" t="s">
        <v>8</v>
      </c>
      <c r="G7" s="37"/>
      <c r="H7" s="48" t="s">
        <v>9</v>
      </c>
      <c r="I7" s="37"/>
    </row>
    <row r="8" spans="1:9" ht="33.950000000000003" customHeight="1" x14ac:dyDescent="0.25">
      <c r="A8" s="43">
        <v>1733.34</v>
      </c>
      <c r="B8" s="37"/>
      <c r="C8" s="45">
        <v>4</v>
      </c>
      <c r="D8" s="37"/>
      <c r="E8" s="2" t="s">
        <v>7</v>
      </c>
      <c r="F8" s="47">
        <v>20</v>
      </c>
      <c r="G8" s="37"/>
      <c r="H8" s="49">
        <v>0.39040000000000002</v>
      </c>
      <c r="I8" s="37"/>
    </row>
    <row r="9" spans="1:9" ht="8.1" customHeight="1" x14ac:dyDescent="0.25"/>
    <row r="11" spans="1:9" ht="21.95" customHeight="1" x14ac:dyDescent="0.25">
      <c r="A11" s="50" t="s">
        <v>10</v>
      </c>
      <c r="B11" s="37"/>
      <c r="C11" s="37"/>
      <c r="D11" s="37"/>
      <c r="E11" s="37"/>
      <c r="F11" s="37"/>
      <c r="G11" s="37"/>
      <c r="H11" s="37"/>
      <c r="I11" s="37"/>
    </row>
    <row r="12" spans="1:9" ht="21.95" customHeight="1" x14ac:dyDescent="0.25">
      <c r="A12" s="3" t="s">
        <v>11</v>
      </c>
      <c r="B12" s="51" t="s">
        <v>12</v>
      </c>
      <c r="C12" s="37"/>
      <c r="D12" s="51" t="s">
        <v>13</v>
      </c>
      <c r="E12" s="37"/>
      <c r="F12" s="3" t="s">
        <v>14</v>
      </c>
      <c r="G12" s="51" t="s">
        <v>15</v>
      </c>
      <c r="H12" s="37"/>
      <c r="I12" s="37"/>
    </row>
    <row r="13" spans="1:9" ht="21.95" customHeight="1" x14ac:dyDescent="0.25">
      <c r="A13" s="4" t="s">
        <v>16</v>
      </c>
      <c r="B13" s="52">
        <v>3</v>
      </c>
      <c r="C13" s="37"/>
      <c r="D13" s="53">
        <v>1464.54</v>
      </c>
      <c r="E13" s="37"/>
      <c r="F13" s="5">
        <f>D13/SUM($D$13:$D$16)</f>
        <v>0.84492367337048702</v>
      </c>
      <c r="G13" s="54" t="str">
        <f>REPT("█", F13*60)</f>
        <v>██████████████████████████████████████████████████</v>
      </c>
      <c r="H13" s="37"/>
      <c r="I13" s="37"/>
    </row>
    <row r="14" spans="1:9" ht="21.95" customHeight="1" x14ac:dyDescent="0.25">
      <c r="A14" s="4" t="s">
        <v>17</v>
      </c>
      <c r="B14" s="55">
        <v>1</v>
      </c>
      <c r="C14" s="37"/>
      <c r="D14" s="56">
        <v>268.8</v>
      </c>
      <c r="E14" s="37"/>
      <c r="F14" s="6">
        <f>D14/SUM($D$13:$D$16)</f>
        <v>0.15507632662951298</v>
      </c>
      <c r="G14" s="57" t="str">
        <f>REPT("█", F14*60)</f>
        <v>█████████</v>
      </c>
      <c r="H14" s="37"/>
      <c r="I14" s="37"/>
    </row>
    <row r="15" spans="1:9" ht="21.95" customHeight="1" x14ac:dyDescent="0.25">
      <c r="A15" s="4" t="s">
        <v>18</v>
      </c>
      <c r="B15" s="58">
        <v>0</v>
      </c>
      <c r="C15" s="37"/>
      <c r="D15" s="59">
        <v>0</v>
      </c>
      <c r="E15" s="37"/>
      <c r="F15" s="7">
        <f>D15/SUM($D$13:$D$16)</f>
        <v>0</v>
      </c>
      <c r="G15" s="60" t="str">
        <f>REPT("█", F15*60)</f>
        <v/>
      </c>
      <c r="H15" s="37"/>
      <c r="I15" s="37"/>
    </row>
    <row r="16" spans="1:9" ht="21.95" customHeight="1" x14ac:dyDescent="0.25">
      <c r="A16" s="4" t="s">
        <v>19</v>
      </c>
      <c r="B16" s="61">
        <v>0</v>
      </c>
      <c r="C16" s="37"/>
      <c r="D16" s="62">
        <v>0</v>
      </c>
      <c r="E16" s="37"/>
      <c r="F16" s="8">
        <f>D16/SUM($D$13:$D$16)</f>
        <v>0</v>
      </c>
      <c r="G16" s="63" t="str">
        <f>REPT("█", F16*60)</f>
        <v/>
      </c>
      <c r="H16" s="37"/>
      <c r="I16" s="37"/>
    </row>
    <row r="17" spans="1:9" ht="21.95" customHeight="1" x14ac:dyDescent="0.25">
      <c r="A17" s="9" t="s">
        <v>20</v>
      </c>
      <c r="B17" s="64">
        <f>SUM(B13:B16)</f>
        <v>4</v>
      </c>
      <c r="C17" s="37"/>
      <c r="D17" s="65">
        <f>SUM(D13:D16)</f>
        <v>1733.34</v>
      </c>
      <c r="E17" s="37"/>
      <c r="F17" s="10">
        <f>SUM(F13:F16)</f>
        <v>1</v>
      </c>
      <c r="G17" s="66"/>
      <c r="H17" s="37"/>
      <c r="I17" s="37"/>
    </row>
    <row r="19" spans="1:9" ht="21.95" customHeight="1" x14ac:dyDescent="0.25">
      <c r="A19" s="67" t="s">
        <v>21</v>
      </c>
      <c r="B19" s="37"/>
      <c r="C19" s="37"/>
      <c r="D19" s="37"/>
      <c r="E19" s="37"/>
      <c r="F19" s="37"/>
      <c r="G19" s="37"/>
      <c r="H19" s="37"/>
      <c r="I19" s="37"/>
    </row>
    <row r="20" spans="1:9" ht="27.95" customHeight="1" x14ac:dyDescent="0.25">
      <c r="A20" s="11" t="s">
        <v>22</v>
      </c>
      <c r="B20" s="11" t="s">
        <v>23</v>
      </c>
      <c r="C20" s="11" t="s">
        <v>24</v>
      </c>
      <c r="D20" s="11" t="s">
        <v>25</v>
      </c>
      <c r="E20" s="11" t="s">
        <v>26</v>
      </c>
      <c r="F20" s="11" t="s">
        <v>27</v>
      </c>
      <c r="G20" s="11" t="s">
        <v>28</v>
      </c>
      <c r="H20" s="11" t="s">
        <v>29</v>
      </c>
      <c r="I20" s="11" t="s">
        <v>11</v>
      </c>
    </row>
    <row r="21" spans="1:9" x14ac:dyDescent="0.25">
      <c r="A21" s="12" t="s">
        <v>30</v>
      </c>
      <c r="B21" s="14" t="s">
        <v>31</v>
      </c>
      <c r="C21" s="16" t="s">
        <v>32</v>
      </c>
      <c r="D21" s="18">
        <v>240</v>
      </c>
      <c r="E21" s="20">
        <v>4</v>
      </c>
      <c r="F21" s="22">
        <v>38</v>
      </c>
      <c r="G21" s="18">
        <v>0</v>
      </c>
      <c r="H21" s="18">
        <v>268.8</v>
      </c>
      <c r="I21" s="23" t="s">
        <v>33</v>
      </c>
    </row>
    <row r="22" spans="1:9" x14ac:dyDescent="0.25">
      <c r="A22" s="13" t="s">
        <v>34</v>
      </c>
      <c r="B22" s="15" t="s">
        <v>35</v>
      </c>
      <c r="C22" s="17" t="s">
        <v>36</v>
      </c>
      <c r="D22" s="19">
        <v>200</v>
      </c>
      <c r="E22" s="21">
        <v>5</v>
      </c>
      <c r="F22" s="24">
        <v>11</v>
      </c>
      <c r="G22" s="19">
        <v>0</v>
      </c>
      <c r="H22" s="19">
        <v>224</v>
      </c>
      <c r="I22" s="25" t="s">
        <v>37</v>
      </c>
    </row>
    <row r="23" spans="1:9" x14ac:dyDescent="0.25">
      <c r="A23" s="12" t="s">
        <v>38</v>
      </c>
      <c r="B23" s="14" t="s">
        <v>39</v>
      </c>
      <c r="C23" s="16" t="s">
        <v>40</v>
      </c>
      <c r="D23" s="18">
        <v>3000</v>
      </c>
      <c r="E23" s="20">
        <v>1</v>
      </c>
      <c r="F23" s="26">
        <v>5</v>
      </c>
      <c r="G23" s="18">
        <v>0</v>
      </c>
      <c r="H23" s="18">
        <v>48.04</v>
      </c>
      <c r="I23" s="27" t="s">
        <v>37</v>
      </c>
    </row>
    <row r="24" spans="1:9" x14ac:dyDescent="0.25">
      <c r="A24" s="13" t="s">
        <v>41</v>
      </c>
      <c r="B24" s="15" t="s">
        <v>42</v>
      </c>
      <c r="C24" s="17" t="s">
        <v>43</v>
      </c>
      <c r="D24" s="19">
        <v>1000</v>
      </c>
      <c r="E24" s="21">
        <v>10</v>
      </c>
      <c r="F24" s="28">
        <v>13</v>
      </c>
      <c r="G24" s="19">
        <v>0</v>
      </c>
      <c r="H24" s="19">
        <v>1192.5</v>
      </c>
      <c r="I24" s="29" t="s">
        <v>37</v>
      </c>
    </row>
    <row r="25" spans="1:9" x14ac:dyDescent="0.25">
      <c r="A25" s="68" t="s">
        <v>20</v>
      </c>
      <c r="B25" s="37"/>
      <c r="C25" s="37"/>
      <c r="D25" s="30">
        <f>SUM(D21:D24)</f>
        <v>4440</v>
      </c>
      <c r="E25" s="31">
        <f>SUM(E21:E24)</f>
        <v>20</v>
      </c>
      <c r="F25" s="32">
        <f>MAX(F21:F24)</f>
        <v>38</v>
      </c>
      <c r="G25" s="33">
        <f>SUM(G21:G24)</f>
        <v>0</v>
      </c>
      <c r="H25" s="34">
        <f>SUM(H21:H24)</f>
        <v>1733.3400000000001</v>
      </c>
      <c r="I25" s="35" t="s">
        <v>44</v>
      </c>
    </row>
    <row r="27" spans="1:9" ht="18" customHeight="1" x14ac:dyDescent="0.25">
      <c r="A27" s="69" t="s">
        <v>45</v>
      </c>
      <c r="B27" s="37"/>
      <c r="C27" s="37"/>
      <c r="D27" s="37"/>
      <c r="E27" s="37"/>
      <c r="F27" s="37"/>
      <c r="G27" s="37"/>
      <c r="H27" s="37"/>
      <c r="I27" s="37"/>
    </row>
  </sheetData>
  <mergeCells count="35">
    <mergeCell ref="A27:I27"/>
    <mergeCell ref="B17:C17"/>
    <mergeCell ref="D17:E17"/>
    <mergeCell ref="G17:I17"/>
    <mergeCell ref="A19:I19"/>
    <mergeCell ref="A25:C25"/>
    <mergeCell ref="B15:C15"/>
    <mergeCell ref="D15:E15"/>
    <mergeCell ref="G15:I15"/>
    <mergeCell ref="B16:C16"/>
    <mergeCell ref="D16:E16"/>
    <mergeCell ref="G16:I16"/>
    <mergeCell ref="B13:C13"/>
    <mergeCell ref="D13:E13"/>
    <mergeCell ref="G13:I13"/>
    <mergeCell ref="B14:C14"/>
    <mergeCell ref="D14:E14"/>
    <mergeCell ref="G14:I14"/>
    <mergeCell ref="H7:I7"/>
    <mergeCell ref="H8:I8"/>
    <mergeCell ref="A11:I11"/>
    <mergeCell ref="B12:C12"/>
    <mergeCell ref="D12:E12"/>
    <mergeCell ref="G12:I12"/>
    <mergeCell ref="A7:B7"/>
    <mergeCell ref="A8:B8"/>
    <mergeCell ref="C7:D7"/>
    <mergeCell ref="C8:D8"/>
    <mergeCell ref="F7:G7"/>
    <mergeCell ref="F8:G8"/>
    <mergeCell ref="F1:I1"/>
    <mergeCell ref="F2:I2"/>
    <mergeCell ref="F3:I3"/>
    <mergeCell ref="A4:I4"/>
    <mergeCell ref="A6:I6"/>
  </mergeCells>
  <pageMargins left="0.7" right="0.7" top="0.75" bottom="0.75" header="0.3" footer="0.3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Cartera en Mora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 ProOne</cp:lastModifiedBy>
  <dcterms:created xsi:type="dcterms:W3CDTF">2026-05-14T20:47:31Z</dcterms:created>
  <dcterms:modified xsi:type="dcterms:W3CDTF">2026-05-14T20:49:39Z</dcterms:modified>
</cp:coreProperties>
</file>